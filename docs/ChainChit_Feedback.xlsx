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Form Questions" sheetId="2" state="visible" r:id="rId2"/>
    <sheet xmlns:r="http://schemas.openxmlformats.org/officeDocument/2006/relationships" name="Responses" sheetId="3" state="visible" r:id="rId3"/>
    <sheet xmlns:r="http://schemas.openxmlformats.org/officeDocument/2006/relationships" name="Analysis" sheetId="4" state="visible" r:id="rId4"/>
    <sheet xmlns:r="http://schemas.openxmlformats.org/officeDocument/2006/relationships" name="Internal UX Audit"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E1B4B"/>
      <sz val="14"/>
    </font>
    <font>
      <b val="1"/>
      <color rgb="001E1B4B"/>
      <sz val="11"/>
    </font>
    <font>
      <b val="1"/>
      <color rgb="00FFFFFF"/>
      <sz val="11"/>
    </font>
  </fonts>
  <fills count="3">
    <fill>
      <patternFill/>
    </fill>
    <fill>
      <patternFill patternType="gray125"/>
    </fill>
    <fill>
      <patternFill patternType="solid">
        <fgColor rgb="001E1B4B"/>
      </patternFill>
    </fill>
  </fills>
  <borders count="2">
    <border>
      <left/>
      <right/>
      <top/>
      <bottom/>
      <diagonal/>
    </border>
    <border>
      <bottom style="thin">
        <color rgb="00C7D2FE"/>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2" fontId="0" fillId="0" borderId="1" pivotButton="0" quotePrefix="0" xfId="0"/>
    <xf numFmtId="9"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110" customWidth="1" min="2" max="2"/>
  </cols>
  <sheetData>
    <row r="1">
      <c r="A1" s="1" t="inlineStr">
        <is>
          <t>ChainChit — User Feedback Workbook</t>
        </is>
      </c>
    </row>
    <row r="2">
      <c r="A2" t="inlineStr"/>
    </row>
    <row r="3">
      <c r="A3" t="inlineStr">
        <is>
          <t>Feedback form</t>
        </is>
      </c>
      <c r="B3" t="inlineStr">
        <is>
          <t>https://forms.gle/2gWMDTeXUNkMaUUB8</t>
        </is>
      </c>
    </row>
    <row r="4">
      <c r="A4" t="inlineStr">
        <is>
          <t>Workbook purpose</t>
        </is>
      </c>
      <c r="B4" t="inlineStr">
        <is>
          <t>Single source of truth for user-feedback collection, analysis and the improvement backlog.</t>
        </is>
      </c>
    </row>
    <row r="5">
      <c r="A5" t="inlineStr"/>
    </row>
    <row r="6">
      <c r="A6" s="2" t="inlineStr">
        <is>
          <t>How to use</t>
        </is>
      </c>
    </row>
    <row r="7">
      <c r="A7" t="inlineStr">
        <is>
          <t>1</t>
        </is>
      </c>
      <c r="B7" t="inlineStr">
        <is>
          <t>Share the Google Form with every onboarded user (linked in the app footer and onboarding flow).</t>
        </is>
      </c>
    </row>
    <row r="8">
      <c r="A8" t="inlineStr">
        <is>
          <t>2</t>
        </is>
      </c>
      <c r="B8" t="inlineStr">
        <is>
          <t>In Google Forms: Responses -&gt; Link to Sheets -&gt; open the Sheet.</t>
        </is>
      </c>
    </row>
    <row r="9">
      <c r="A9" t="inlineStr">
        <is>
          <t>3</t>
        </is>
      </c>
      <c r="B9" t="inlineStr">
        <is>
          <t>Copy the exported rows and paste them under the headers in the 'Responses' tab of this workbook.</t>
        </is>
      </c>
    </row>
    <row r="10">
      <c r="A10" t="inlineStr">
        <is>
          <t>4</t>
        </is>
      </c>
      <c r="B10" t="inlineStr">
        <is>
          <t>The 'Analysis' tab updates automatically (average rating, recommendation mix, friction signals).</t>
        </is>
      </c>
    </row>
    <row r="11">
      <c r="A11" t="inlineStr">
        <is>
          <t>5</t>
        </is>
      </c>
      <c r="B11" t="inlineStr">
        <is>
          <t>Turn top themes into GitHub issues; ship fixes; record commit links in the README Improvement Plan table.</t>
        </is>
      </c>
    </row>
    <row r="12">
      <c r="A12" s="2" t="inlineStr"/>
    </row>
    <row r="13">
      <c r="A13" s="3" t="inlineStr">
        <is>
          <t>Provenance note</t>
        </is>
      </c>
      <c r="B13" t="inlineStr">
        <is>
          <t>Ratings in this workbook come only from real form submissions. UX findings that were not submitted via the form are tracked separately in the 'Internal UX Audit' tab so the two evidence sources are never mixed.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 customWidth="1" min="1" max="1"/>
    <col width="42" customWidth="1" min="2" max="2"/>
    <col width="16" customWidth="1" min="3" max="3"/>
    <col width="10" customWidth="1" min="4" max="4"/>
    <col width="70" customWidth="1" min="5" max="5"/>
  </cols>
  <sheetData>
    <row r="1">
      <c r="A1" s="4" t="inlineStr">
        <is>
          <t>#</t>
        </is>
      </c>
      <c r="B1" s="4" t="inlineStr">
        <is>
          <t>Question</t>
        </is>
      </c>
      <c r="C1" s="4" t="inlineStr">
        <is>
          <t>Type</t>
        </is>
      </c>
      <c r="D1" s="4" t="inlineStr">
        <is>
          <t>Required</t>
        </is>
      </c>
      <c r="E1" s="4" t="inlineStr">
        <is>
          <t>Options / Validation</t>
        </is>
      </c>
    </row>
    <row r="2">
      <c r="A2" s="5" t="n">
        <v>1</v>
      </c>
      <c r="B2" s="5" t="inlineStr">
        <is>
          <t>Full Name</t>
        </is>
      </c>
      <c r="C2" s="5" t="inlineStr">
        <is>
          <t>Short answer</t>
        </is>
      </c>
      <c r="D2" s="5" t="inlineStr">
        <is>
          <t>Yes</t>
        </is>
      </c>
      <c r="E2" s="5" t="inlineStr"/>
    </row>
    <row r="3">
      <c r="A3" s="5" t="n">
        <v>2</v>
      </c>
      <c r="B3" s="5" t="inlineStr">
        <is>
          <t>Email Address</t>
        </is>
      </c>
      <c r="C3" s="5" t="inlineStr">
        <is>
          <t>Short answer</t>
        </is>
      </c>
      <c r="D3" s="5" t="inlineStr">
        <is>
          <t>Yes</t>
        </is>
      </c>
      <c r="E3" s="5" t="inlineStr">
        <is>
          <t>Email validation</t>
        </is>
      </c>
    </row>
    <row r="4">
      <c r="A4" s="5" t="n">
        <v>3</v>
      </c>
      <c r="B4" s="5" t="inlineStr">
        <is>
          <t>Wallet Address (Stellar Public Key)</t>
        </is>
      </c>
      <c r="C4" s="5" t="inlineStr">
        <is>
          <t>Short answer</t>
        </is>
      </c>
      <c r="D4" s="5" t="inlineStr">
        <is>
          <t>Yes</t>
        </is>
      </c>
      <c r="E4" s="5" t="inlineStr">
        <is>
          <t>G… 56-char Stellar address</t>
        </is>
      </c>
    </row>
    <row r="5">
      <c r="A5" s="5" t="n">
        <v>4</v>
      </c>
      <c r="B5" s="5" t="inlineStr">
        <is>
          <t>How would you rate ChainChit overall?</t>
        </is>
      </c>
      <c r="C5" s="5" t="inlineStr">
        <is>
          <t>Linear scale</t>
        </is>
      </c>
      <c r="D5" s="5" t="inlineStr">
        <is>
          <t>Yes</t>
        </is>
      </c>
      <c r="E5" s="5" t="inlineStr">
        <is>
          <t>1 (Very poor) – 5 (Excellent)</t>
        </is>
      </c>
    </row>
    <row r="6">
      <c r="A6" s="5" t="n">
        <v>5</v>
      </c>
      <c r="B6" s="5" t="inlineStr">
        <is>
          <t>What did you like most about ChainChit?</t>
        </is>
      </c>
      <c r="C6" s="5" t="inlineStr">
        <is>
          <t>Paragraph</t>
        </is>
      </c>
      <c r="D6" s="5" t="inlineStr">
        <is>
          <t>No</t>
        </is>
      </c>
      <c r="E6" s="5" t="inlineStr"/>
    </row>
    <row r="7">
      <c r="A7" s="5" t="n">
        <v>6</v>
      </c>
      <c r="B7" s="5" t="inlineStr">
        <is>
          <t>What frustrated you or felt missing?</t>
        </is>
      </c>
      <c r="C7" s="5" t="inlineStr">
        <is>
          <t>Paragraph</t>
        </is>
      </c>
      <c r="D7" s="5" t="inlineStr">
        <is>
          <t>No</t>
        </is>
      </c>
      <c r="E7" s="5" t="inlineStr"/>
    </row>
    <row r="8">
      <c r="A8" s="5" t="n">
        <v>7</v>
      </c>
      <c r="B8" s="5" t="inlineStr">
        <is>
          <t>How easy was creating/joining a chit group?</t>
        </is>
      </c>
      <c r="C8" s="5" t="inlineStr">
        <is>
          <t>Multiple choice</t>
        </is>
      </c>
      <c r="D8" s="5" t="inlineStr">
        <is>
          <t>Yes</t>
        </is>
      </c>
      <c r="E8" s="5" t="inlineStr">
        <is>
          <t>Very easy / Easy / Neutral / Difficult / Very difficult</t>
        </is>
      </c>
    </row>
    <row r="9">
      <c r="A9" s="5" t="n">
        <v>8</v>
      </c>
      <c r="B9" s="5" t="inlineStr">
        <is>
          <t>Which features would you want next?</t>
        </is>
      </c>
      <c r="C9" s="5" t="inlineStr">
        <is>
          <t>Checkboxes</t>
        </is>
      </c>
      <c r="D9" s="5" t="inlineStr">
        <is>
          <t>No</t>
        </is>
      </c>
      <c r="E9" s="5" t="inlineStr">
        <is>
          <t>Lower minimum contribution / Mobile app / Notifications / Loan against chit share / More payment options / Other</t>
        </is>
      </c>
    </row>
    <row r="10">
      <c r="A10" s="5" t="n">
        <v>9</v>
      </c>
      <c r="B10" s="5" t="inlineStr">
        <is>
          <t>Would you recommend ChainChit to others?</t>
        </is>
      </c>
      <c r="C10" s="5" t="inlineStr">
        <is>
          <t>Multiple choice</t>
        </is>
      </c>
      <c r="D10" s="5" t="inlineStr">
        <is>
          <t>Yes</t>
        </is>
      </c>
      <c r="E10" s="5" t="inlineStr">
        <is>
          <t>Yes definitely / Probably yes / Not sure / Probably not / No</t>
        </is>
      </c>
    </row>
    <row r="11">
      <c r="A11" s="5" t="n">
        <v>10</v>
      </c>
      <c r="B11" s="5" t="inlineStr">
        <is>
          <t>Any other comments or suggestions?</t>
        </is>
      </c>
      <c r="C11" s="5" t="inlineStr">
        <is>
          <t>Paragraph</t>
        </is>
      </c>
      <c r="D11" s="5" t="inlineStr">
        <is>
          <t>No</t>
        </is>
      </c>
      <c r="E11"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20" customWidth="1" min="2" max="2"/>
    <col width="26" customWidth="1" min="3" max="3"/>
    <col width="60" customWidth="1" min="4" max="4"/>
    <col width="12" customWidth="1" min="5" max="5"/>
    <col width="40" customWidth="1" min="6" max="6"/>
    <col width="40" customWidth="1" min="7" max="7"/>
    <col width="18" customWidth="1" min="8" max="8"/>
    <col width="34" customWidth="1" min="9" max="9"/>
    <col width="18" customWidth="1" min="10" max="10"/>
    <col width="40" customWidth="1" min="11" max="11"/>
  </cols>
  <sheetData>
    <row r="1">
      <c r="A1" s="4" t="inlineStr">
        <is>
          <t>Timestamp</t>
        </is>
      </c>
      <c r="B1" s="4" t="inlineStr">
        <is>
          <t>Full Name</t>
        </is>
      </c>
      <c r="C1" s="4" t="inlineStr">
        <is>
          <t>Email</t>
        </is>
      </c>
      <c r="D1" s="4" t="inlineStr">
        <is>
          <t>Wallet Address</t>
        </is>
      </c>
      <c r="E1" s="4" t="inlineStr">
        <is>
          <t>Rating (1-5)</t>
        </is>
      </c>
      <c r="F1" s="4" t="inlineStr">
        <is>
          <t>Liked Most</t>
        </is>
      </c>
      <c r="G1" s="4" t="inlineStr">
        <is>
          <t>Frustrations / Missing</t>
        </is>
      </c>
      <c r="H1" s="4" t="inlineStr">
        <is>
          <t>Onboarding Ease</t>
        </is>
      </c>
      <c r="I1" s="4" t="inlineStr">
        <is>
          <t>Requested Features</t>
        </is>
      </c>
      <c r="J1" s="4" t="inlineStr">
        <is>
          <t>Recommendation</t>
        </is>
      </c>
      <c r="K1" s="4" t="inlineStr">
        <is>
          <t>Other Comments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38" customWidth="1" min="1" max="1"/>
    <col width="14" customWidth="1" min="2" max="2"/>
    <col width="34" customWidth="1" min="3" max="3"/>
  </cols>
  <sheetData>
    <row r="1">
      <c r="A1" s="4" t="inlineStr">
        <is>
          <t>Metric</t>
        </is>
      </c>
      <c r="B1" s="4" t="inlineStr">
        <is>
          <t>Value</t>
        </is>
      </c>
      <c r="C1" s="4" t="inlineStr">
        <is>
          <t>Formula basis</t>
        </is>
      </c>
    </row>
    <row r="2">
      <c r="A2" s="6" t="inlineStr">
        <is>
          <t>Total responses</t>
        </is>
      </c>
      <c r="B2" s="6">
        <f>COUNTA(Responses!A:A)-1</f>
        <v/>
      </c>
      <c r="C2" s="6" t="inlineStr">
        <is>
          <t>Count of timestamps</t>
        </is>
      </c>
    </row>
    <row r="3">
      <c r="A3" s="6" t="inlineStr">
        <is>
          <t>Average rating</t>
        </is>
      </c>
      <c r="B3" s="7">
        <f>IFERROR(AVERAGE(Responses!E:E),"")</f>
        <v/>
      </c>
      <c r="C3" s="6" t="inlineStr">
        <is>
          <t>Mean of Rating column</t>
        </is>
      </c>
    </row>
    <row r="4">
      <c r="A4" s="6" t="inlineStr">
        <is>
          <t>% rating 4-5</t>
        </is>
      </c>
      <c r="B4" s="6">
        <f>IFERROR(COUNTIF(Responses!E:E,"&gt;=4")/COUNT(Responses!E:E),"")</f>
        <v/>
      </c>
      <c r="C4" s="6" t="inlineStr">
        <is>
          <t>Promoters share</t>
        </is>
      </c>
    </row>
    <row r="5">
      <c r="A5" s="6" t="inlineStr">
        <is>
          <t>% rating &lt;=2</t>
        </is>
      </c>
      <c r="B5" s="8">
        <f>IFERROR((COUNTIF(Responses!E:E,"1")+COUNTIF(Responses!E:E,"2"))/COUNT(Responses!E:E),"")</f>
        <v/>
      </c>
      <c r="C5" s="6" t="inlineStr">
        <is>
          <t>Churn-risk share</t>
        </is>
      </c>
    </row>
    <row r="6">
      <c r="A6" s="6" t="inlineStr">
        <is>
          <t>% Very easy + Easy onboarding</t>
        </is>
      </c>
      <c r="B6" s="8">
        <f>IFERROR((COUNTIF(Responses!H:H,"Very easy")+COUNTIF(Responses!H:H,"Easy"))/COUNTA(Responses!H:H),"")</f>
        <v/>
      </c>
      <c r="C6" s="6" t="inlineStr">
        <is>
          <t>Onboarding ease</t>
        </is>
      </c>
    </row>
    <row r="7">
      <c r="A7" s="6" t="inlineStr">
        <is>
          <t>% would recommend (definitely/probably)</t>
        </is>
      </c>
      <c r="B7" s="8">
        <f>IFERROR((COUNTIF(Responses!J:J,"Yes, definitely")+COUNTIF(Responses!J:J,"Probably yes"))/COUNTA(Responses!J:J),"")</f>
        <v/>
      </c>
      <c r="C7" s="6" t="inlineStr">
        <is>
          <t>Referral intent</t>
        </is>
      </c>
    </row>
    <row r="8">
      <c r="A8" s="6" t="n"/>
      <c r="B8" s="8" t="n"/>
      <c r="C8" s="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2" customWidth="1" min="1" max="1"/>
    <col width="72" customWidth="1" min="2" max="2"/>
    <col width="10" customWidth="1" min="3" max="3"/>
    <col width="58" customWidth="1" min="4" max="4"/>
    <col width="12" customWidth="1" min="5" max="5"/>
  </cols>
  <sheetData>
    <row r="1">
      <c r="A1" s="4" t="inlineStr">
        <is>
          <t>Date</t>
        </is>
      </c>
      <c r="B1" s="4" t="inlineStr">
        <is>
          <t>Finding (dogfooding / heuristic review)</t>
        </is>
      </c>
      <c r="C1" s="4" t="inlineStr">
        <is>
          <t>Severity</t>
        </is>
      </c>
      <c r="D1" s="4" t="inlineStr">
        <is>
          <t>Action taken</t>
        </is>
      </c>
      <c r="E1" s="4" t="inlineStr">
        <is>
          <t>Commit</t>
        </is>
      </c>
    </row>
    <row r="2">
      <c r="A2" s="5" t="inlineStr">
        <is>
          <t>2026-08-24</t>
        </is>
      </c>
      <c r="B2" s="5" t="inlineStr">
        <is>
          <t>New wallet users land on an empty dashboard with no guidance; setup order (connect -&gt; fund -&gt; join -&gt; contribute) is undocumented in-product.</t>
        </is>
      </c>
      <c r="C2" s="5" t="inlineStr">
        <is>
          <t>High</t>
        </is>
      </c>
      <c r="D2" s="5" t="inlineStr">
        <is>
          <t>Dismissible 4-step onboarding checklist with live Horizon balance detection and faucet deep-link</t>
        </is>
      </c>
      <c r="E2" s="5" t="inlineStr">
        <is>
          <t>f24bbd7</t>
        </is>
      </c>
    </row>
    <row r="3">
      <c r="A3" s="5" t="inlineStr">
        <is>
          <t>2026-08-24</t>
        </is>
      </c>
      <c r="B3" s="5" t="inlineStr">
        <is>
          <t>Group page shows only the raw cycle counter; users cannot see committee progress or past winners without reading contract state manually.</t>
        </is>
      </c>
      <c r="C3" s="5" t="inlineStr">
        <is>
          <t>High</t>
        </is>
      </c>
      <c r="D3" s="5" t="inlineStr">
        <is>
          <t>CycleProgress component: per-cycle chips with winner tooltips + contributions-received meter for the open cycle</t>
        </is>
      </c>
      <c r="E3" s="5" t="inlineStr">
        <is>
          <t>1d1261b</t>
        </is>
      </c>
    </row>
    <row r="4">
      <c r="A4" s="5" t="inlineStr">
        <is>
          <t>2026-08-24</t>
        </is>
      </c>
      <c r="B4" s="5" t="inlineStr">
        <is>
          <t>During bidding, revealed amounts are public on-chain but invisible in the UI; members bid blind and accidentally duplicate amounts.</t>
        </is>
      </c>
      <c r="C4" s="5" t="inlineStr">
        <is>
          <t>Medium</t>
        </is>
      </c>
      <c r="D4" s="5" t="inlineStr">
        <is>
          <t>Live Bid Insight panel in BiddingPanel: committed/revealed counts + 'taken amount' chips</t>
        </is>
      </c>
      <c r="E4" s="5" t="inlineStr">
        <is>
          <t>78f7fe8</t>
        </is>
      </c>
    </row>
    <row r="5">
      <c r="A5" s="5" t="inlineStr">
        <is>
          <t>2026-08-24</t>
        </is>
      </c>
      <c r="B5" s="5" t="inlineStr">
        <is>
          <t>Manual member provisioning for a full committee takes dozens of hand-run transactions per group.</t>
        </is>
      </c>
      <c r="C5" s="5" t="inlineStr">
        <is>
          <t>Medium</t>
        </is>
      </c>
      <c r="D5" s="5" t="inlineStr">
        <is>
          <t>provision_committee.ts organizer tooling: one-run committee provisioning mirroring real chit-fund foreman workflow</t>
        </is>
      </c>
      <c r="E5" s="5" t="inlineStr">
        <is>
          <t>fb4bf8d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2026-08-24T14:41:49Z</dcterms:created>
  <dcterms:modified xmlns:dcterms="http://purl.org/dc/terms/" xmlns:xsi="http://www.w3.org/2001/XMLSchema-instance" xsi:type="dcterms:W3CDTF">2026-08-24T14:41:49Z</dcterms:modified>
</cp:coreProperties>
</file>